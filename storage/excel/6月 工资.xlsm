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7950" tabRatio="665"/>
  </bookViews>
  <sheets>
    <sheet name="总表" sheetId="28" r:id="rId1"/>
  </sheets>
  <calcPr calcId="144525" fullPrecision="0"/>
</workbook>
</file>

<file path=xl/comments1.xml><?xml version="1.0" encoding="utf-8"?>
<comments xmlns="http://schemas.openxmlformats.org/spreadsheetml/2006/main">
  <authors>
    <author>Administrator</author>
    <author>Admin</author>
  </authors>
  <commentList>
    <comment ref="E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有待增资</t>
        </r>
      </text>
    </comment>
    <comment ref="Y1" authorId="1">
      <text>
        <r>
          <rPr>
            <b/>
            <sz val="9"/>
            <rFont val="宋体"/>
            <charset val="134"/>
          </rPr>
          <t>Admin:</t>
        </r>
        <r>
          <rPr>
            <sz val="9"/>
            <rFont val="宋体"/>
            <charset val="134"/>
          </rPr>
          <t xml:space="preserve">
</t>
        </r>
      </text>
    </comment>
    <comment ref="AH1" authorId="1">
      <text>
        <r>
          <rPr>
            <b/>
            <sz val="9"/>
            <rFont val="宋体"/>
            <charset val="134"/>
          </rPr>
          <t>Admin:</t>
        </r>
        <r>
          <rPr>
            <sz val="9"/>
            <rFont val="宋体"/>
            <charset val="134"/>
          </rPr>
          <t xml:space="preserve">
个人8%，
单位20%   每月单独打一张表 </t>
        </r>
      </text>
    </comment>
  </commentList>
</comments>
</file>

<file path=xl/sharedStrings.xml><?xml version="1.0" encoding="utf-8"?>
<sst xmlns="http://schemas.openxmlformats.org/spreadsheetml/2006/main" count="42">
  <si>
    <t>姓名</t>
  </si>
  <si>
    <t>银行账号</t>
  </si>
  <si>
    <t>部门</t>
  </si>
  <si>
    <t>试用期工资</t>
  </si>
  <si>
    <t>遗属补助</t>
  </si>
  <si>
    <t>退休工资</t>
  </si>
  <si>
    <t>职务  工资</t>
  </si>
  <si>
    <t>级别    工资</t>
  </si>
  <si>
    <t>等级工资</t>
  </si>
  <si>
    <t>岗位    工资</t>
  </si>
  <si>
    <t>薪级   工资</t>
  </si>
  <si>
    <t>基本工资</t>
  </si>
  <si>
    <t>津补贴</t>
  </si>
  <si>
    <t>单位部分社保</t>
  </si>
  <si>
    <t>单位部分公积金</t>
  </si>
  <si>
    <t>补发工资</t>
  </si>
  <si>
    <t>交通补贴</t>
  </si>
  <si>
    <t>应发金额合计</t>
  </si>
  <si>
    <t>个人部分社保</t>
  </si>
  <si>
    <t>个人部分公积金</t>
  </si>
  <si>
    <t>住房公积金</t>
  </si>
  <si>
    <t>养老保险</t>
  </si>
  <si>
    <t>职业年金</t>
  </si>
  <si>
    <t>代扣工资</t>
  </si>
  <si>
    <t>失业保险</t>
  </si>
  <si>
    <t>代扣合计</t>
  </si>
  <si>
    <t>实发金额合计</t>
  </si>
  <si>
    <t>社保基数</t>
  </si>
  <si>
    <t>公积金基数</t>
  </si>
  <si>
    <t>刘世芳</t>
  </si>
  <si>
    <t>6226820017800403435</t>
  </si>
  <si>
    <t>党委</t>
  </si>
  <si>
    <t>蒋隆浦</t>
  </si>
  <si>
    <t>6226822017801385704</t>
  </si>
  <si>
    <t>薛朝华</t>
  </si>
  <si>
    <t>6226820017801087799</t>
  </si>
  <si>
    <t>张根桥</t>
  </si>
  <si>
    <t>6226822017801607651</t>
  </si>
  <si>
    <t>韩剑</t>
  </si>
  <si>
    <t>6226820017801421345</t>
  </si>
  <si>
    <t>周传杏</t>
  </si>
  <si>
    <t>178020121000066915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</si>
</sst>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_ "/>
  </numFmts>
  <fonts count="23">
    <font>
      <sz val="12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indexed="8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6">
    <xf numFmtId="0" fontId="0" fillId="0" borderId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6" fillId="12" borderId="5" applyNumberFormat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" fillId="8" borderId="3" applyNumberFormat="0" applyFont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5" fillId="0" borderId="4" applyNumberFormat="0" applyFill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6" fillId="17" borderId="7" applyNumberFormat="0" applyAlignment="0" applyProtection="0">
      <alignment vertical="center"/>
    </xf>
    <xf numFmtId="0" fontId="13" fillId="17" borderId="5" applyNumberFormat="0" applyAlignment="0" applyProtection="0">
      <alignment vertical="center"/>
    </xf>
    <xf numFmtId="0" fontId="17" fillId="20" borderId="8" applyNumberFormat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0" fillId="0" borderId="0"/>
    <xf numFmtId="0" fontId="20" fillId="0" borderId="10" applyNumberFormat="0" applyFill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22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</cellStyleXfs>
  <cellXfs count="13">
    <xf numFmtId="0" fontId="0" fillId="0" borderId="0" xfId="0">
      <alignment vertical="center"/>
    </xf>
    <xf numFmtId="176" fontId="0" fillId="2" borderId="0" xfId="0" applyNumberFormat="1" applyFill="1" applyProtection="1">
      <alignment vertical="center"/>
    </xf>
    <xf numFmtId="176" fontId="0" fillId="0" borderId="0" xfId="0" applyNumberFormat="1" applyProtection="1">
      <alignment vertical="center"/>
    </xf>
    <xf numFmtId="176" fontId="1" fillId="0" borderId="1" xfId="51" applyNumberFormat="1" applyFont="1" applyBorder="1" applyAlignment="1" applyProtection="1">
      <alignment horizontal="center" vertical="center"/>
    </xf>
    <xf numFmtId="176" fontId="1" fillId="3" borderId="2" xfId="51" applyNumberFormat="1" applyFont="1" applyFill="1" applyBorder="1" applyAlignment="1" applyProtection="1">
      <alignment horizontal="center" vertical="center" wrapText="1"/>
    </xf>
    <xf numFmtId="176" fontId="1" fillId="4" borderId="2" xfId="51" applyNumberFormat="1" applyFont="1" applyFill="1" applyBorder="1" applyAlignment="1" applyProtection="1">
      <alignment horizontal="center" vertical="center" wrapText="1"/>
    </xf>
    <xf numFmtId="176" fontId="1" fillId="0" borderId="2" xfId="51" applyNumberFormat="1" applyFont="1" applyBorder="1" applyAlignment="1" applyProtection="1">
      <alignment horizontal="center" vertical="center" wrapText="1"/>
    </xf>
    <xf numFmtId="0" fontId="0" fillId="0" borderId="2" xfId="50" applyFont="1" applyBorder="1" applyAlignment="1" applyProtection="1">
      <alignment horizontal="center" vertical="center" wrapText="1"/>
    </xf>
    <xf numFmtId="176" fontId="1" fillId="2" borderId="2" xfId="51" applyNumberFormat="1" applyFont="1" applyFill="1" applyBorder="1" applyAlignment="1" applyProtection="1">
      <alignment horizontal="center" vertical="center" wrapText="1"/>
    </xf>
    <xf numFmtId="0" fontId="0" fillId="2" borderId="2" xfId="50" applyFont="1" applyFill="1" applyBorder="1" applyAlignment="1" applyProtection="1">
      <alignment horizontal="center" vertical="center" wrapText="1"/>
    </xf>
    <xf numFmtId="176" fontId="1" fillId="5" borderId="2" xfId="51" applyNumberFormat="1" applyFont="1" applyFill="1" applyBorder="1" applyAlignment="1" applyProtection="1">
      <alignment horizontal="center" vertical="center" wrapText="1"/>
    </xf>
    <xf numFmtId="176" fontId="1" fillId="6" borderId="2" xfId="51" applyNumberFormat="1" applyFont="1" applyFill="1" applyBorder="1" applyAlignment="1" applyProtection="1">
      <alignment horizontal="center" vertical="center" wrapText="1"/>
    </xf>
    <xf numFmtId="176" fontId="0" fillId="7" borderId="0" xfId="0" applyNumberFormat="1" applyFill="1" applyProtection="1">
      <alignment vertical="center"/>
    </xf>
  </cellXfs>
  <cellStyles count="56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常规_Sheet2" xfId="30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_Sheet1" xfId="51"/>
    <cellStyle name="常规_Sheet3" xfId="52"/>
    <cellStyle name="常规_Sheet4" xfId="53"/>
    <cellStyle name="常规_Sheet5" xfId="54"/>
    <cellStyle name="常规_Sheet6" xfId="55"/>
  </cellStyles>
  <tableStyles count="0" defaultTableStyle="TableStyleMedium2"/>
  <colors>
    <mruColors>
      <color rgb="00FF000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I7"/>
  <sheetViews>
    <sheetView tabSelected="1" view="pageBreakPreview" zoomScale="115" zoomScaleNormal="100" zoomScaleSheetLayoutView="115" workbookViewId="0">
      <pane xSplit="3" ySplit="1" topLeftCell="AC2" activePane="bottomRight" state="frozen"/>
      <selection/>
      <selection pane="topRight"/>
      <selection pane="bottomLeft"/>
      <selection pane="bottomRight" activeCell="A102" sqref="$A8:$XFD102"/>
    </sheetView>
  </sheetViews>
  <sheetFormatPr defaultColWidth="9" defaultRowHeight="14.25" outlineLevelRow="6"/>
  <cols>
    <col min="1" max="1" width="9" style="2"/>
    <col min="2" max="2" width="24.125" style="2" customWidth="1"/>
    <col min="3" max="3" width="9" style="2"/>
    <col min="4" max="4" width="10.375" style="2"/>
    <col min="5" max="5" width="9" style="2"/>
    <col min="6" max="6" width="9.375" style="2" customWidth="1"/>
    <col min="7" max="7" width="9" style="2"/>
    <col min="8" max="8" width="10.5" style="2" customWidth="1"/>
    <col min="9" max="9" width="9.5" style="2" customWidth="1"/>
    <col min="10" max="11" width="9" style="2"/>
    <col min="12" max="12" width="10.375" style="2"/>
    <col min="13" max="13" width="13.0416666666667" style="2" customWidth="1"/>
    <col min="14" max="15" width="11.5" style="2" customWidth="1"/>
    <col min="16" max="16" width="10.325" style="2" customWidth="1"/>
    <col min="17" max="17" width="9.375" style="2"/>
    <col min="18" max="19" width="9" style="2"/>
    <col min="20" max="20" width="10.375" style="2"/>
    <col min="21" max="23" width="11.5" style="2" customWidth="1"/>
    <col min="24" max="24" width="10.7583333333333" style="2" customWidth="1"/>
    <col min="25" max="25" width="11.125" style="2" customWidth="1"/>
    <col min="26" max="26" width="11.625" style="2" customWidth="1"/>
    <col min="27" max="27" width="10.5" style="2" customWidth="1"/>
    <col min="28" max="29" width="9.5" style="2" customWidth="1"/>
    <col min="30" max="31" width="9" style="2"/>
    <col min="32" max="32" width="10.375" style="2"/>
    <col min="33" max="33" width="11.5" style="2" customWidth="1"/>
    <col min="34" max="34" width="13.75" style="2" customWidth="1"/>
    <col min="35" max="35" width="16" style="2" customWidth="1"/>
    <col min="36" max="16376" width="9" style="2"/>
    <col min="16381" max="16384" width="9" style="2"/>
  </cols>
  <sheetData>
    <row r="1" ht="22.5" spans="1:35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/>
      <c r="S1" s="4"/>
      <c r="T1" s="4"/>
      <c r="U1" s="4" t="s">
        <v>17</v>
      </c>
      <c r="V1" s="10" t="s">
        <v>18</v>
      </c>
      <c r="W1" s="10" t="s">
        <v>19</v>
      </c>
      <c r="X1" s="11" t="s">
        <v>20</v>
      </c>
      <c r="Y1" s="11" t="s">
        <v>21</v>
      </c>
      <c r="Z1" s="11" t="s">
        <v>22</v>
      </c>
      <c r="AA1" s="11" t="s">
        <v>23</v>
      </c>
      <c r="AB1" s="11" t="s">
        <v>24</v>
      </c>
      <c r="AC1" s="11"/>
      <c r="AD1" s="11"/>
      <c r="AE1" s="11"/>
      <c r="AF1" s="11" t="s">
        <v>25</v>
      </c>
      <c r="AG1" s="6" t="s">
        <v>26</v>
      </c>
      <c r="AH1" s="12" t="s">
        <v>27</v>
      </c>
      <c r="AI1" s="2" t="s">
        <v>28</v>
      </c>
    </row>
    <row r="2" spans="1:35">
      <c r="A2" s="5" t="s">
        <v>29</v>
      </c>
      <c r="B2" s="6" t="s">
        <v>30</v>
      </c>
      <c r="C2" s="6" t="s">
        <v>31</v>
      </c>
      <c r="D2" s="6"/>
      <c r="E2" s="6"/>
      <c r="F2" s="6"/>
      <c r="G2" s="7">
        <v>1145</v>
      </c>
      <c r="H2" s="7">
        <v>1716</v>
      </c>
      <c r="I2" s="6"/>
      <c r="J2" s="6"/>
      <c r="K2" s="6"/>
      <c r="L2" s="6">
        <f>G2+H2+I2+J2+K2</f>
        <v>2861</v>
      </c>
      <c r="M2" s="6">
        <v>2245</v>
      </c>
      <c r="N2" s="6">
        <f>+AH2*0.2</f>
        <v>1068.8</v>
      </c>
      <c r="O2" s="6">
        <f>+X2/2</f>
        <v>613</v>
      </c>
      <c r="P2" s="6"/>
      <c r="Q2" s="6"/>
      <c r="R2" s="6"/>
      <c r="S2" s="6"/>
      <c r="T2" s="6"/>
      <c r="U2" s="6">
        <f t="shared" ref="U2:U8" si="0">SUM(D2:T2)-L2</f>
        <v>6787.8</v>
      </c>
      <c r="V2" s="6"/>
      <c r="W2" s="6"/>
      <c r="X2" s="6">
        <f>ROUND((AI2)*0.12,0)*2</f>
        <v>1226</v>
      </c>
      <c r="Y2" s="6">
        <f>+ROUND(AH2*0.28,2)</f>
        <v>1496.32</v>
      </c>
      <c r="Z2" s="6">
        <f>+ROUND((L2+M2)*0.04,0)</f>
        <v>204</v>
      </c>
      <c r="AA2" s="6"/>
      <c r="AB2" s="6"/>
      <c r="AC2" s="6"/>
      <c r="AD2" s="6"/>
      <c r="AE2" s="6"/>
      <c r="AF2" s="6">
        <f>+SUM(X2:AE2)</f>
        <v>2926.32</v>
      </c>
      <c r="AG2" s="6">
        <f>+U2-AF2</f>
        <v>3861.48</v>
      </c>
      <c r="AH2" s="2">
        <v>5344</v>
      </c>
      <c r="AI2" s="2">
        <v>5106</v>
      </c>
    </row>
    <row r="3" s="1" customFormat="1" spans="1:35">
      <c r="A3" s="8" t="s">
        <v>32</v>
      </c>
      <c r="B3" s="8" t="s">
        <v>33</v>
      </c>
      <c r="C3" s="8" t="s">
        <v>31</v>
      </c>
      <c r="D3" s="8"/>
      <c r="E3" s="8"/>
      <c r="F3" s="8"/>
      <c r="G3" s="9"/>
      <c r="H3" s="9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>
        <f t="shared" si="0"/>
        <v>0</v>
      </c>
      <c r="V3" s="8"/>
      <c r="W3" s="8"/>
      <c r="X3" s="8"/>
      <c r="Y3" s="8"/>
      <c r="Z3" s="8"/>
      <c r="AA3" s="8"/>
      <c r="AB3" s="8"/>
      <c r="AC3" s="8"/>
      <c r="AD3" s="8"/>
      <c r="AE3" s="8"/>
      <c r="AF3" s="8">
        <f>+SUM(X3:AE3)</f>
        <v>0</v>
      </c>
      <c r="AG3" s="8">
        <f>+U3-AF3</f>
        <v>0</v>
      </c>
      <c r="AH3" s="1">
        <v>5890</v>
      </c>
      <c r="AI3" s="1">
        <v>5610</v>
      </c>
    </row>
    <row r="4" spans="1:35">
      <c r="A4" s="6" t="s">
        <v>34</v>
      </c>
      <c r="B4" s="6" t="s">
        <v>35</v>
      </c>
      <c r="C4" s="6" t="s">
        <v>31</v>
      </c>
      <c r="D4" s="6"/>
      <c r="E4" s="6"/>
      <c r="F4" s="6"/>
      <c r="G4" s="7">
        <v>1145</v>
      </c>
      <c r="H4" s="7">
        <v>1953</v>
      </c>
      <c r="I4" s="6"/>
      <c r="J4" s="6"/>
      <c r="K4" s="6"/>
      <c r="L4" s="6">
        <f>G4+H4+I4+J4+K4</f>
        <v>3098</v>
      </c>
      <c r="M4" s="6">
        <v>2245</v>
      </c>
      <c r="N4" s="6">
        <f>+AH4*0.2</f>
        <v>1120.2</v>
      </c>
      <c r="O4" s="6">
        <f>+X4/2</f>
        <v>641</v>
      </c>
      <c r="P4" s="6"/>
      <c r="Q4" s="6"/>
      <c r="R4" s="6"/>
      <c r="S4" s="6"/>
      <c r="T4" s="6"/>
      <c r="U4" s="6">
        <f t="shared" si="0"/>
        <v>7104.2</v>
      </c>
      <c r="V4" s="6"/>
      <c r="W4" s="6"/>
      <c r="X4" s="6">
        <f>ROUND((AI4)*0.12,0)*2</f>
        <v>1282</v>
      </c>
      <c r="Y4" s="6">
        <f>+ROUND(AH4*0.28,2)</f>
        <v>1568.28</v>
      </c>
      <c r="Z4" s="6">
        <f>+ROUND((L4+M4)*0.04,0)</f>
        <v>214</v>
      </c>
      <c r="AA4" s="6"/>
      <c r="AB4" s="6"/>
      <c r="AC4" s="6"/>
      <c r="AD4" s="6"/>
      <c r="AE4" s="6"/>
      <c r="AF4" s="6">
        <f>+SUM(X4:AE4)</f>
        <v>3064.28</v>
      </c>
      <c r="AG4" s="6">
        <f>+U4-AF4</f>
        <v>4039.92</v>
      </c>
      <c r="AH4" s="2">
        <v>5601</v>
      </c>
      <c r="AI4" s="2">
        <v>5343</v>
      </c>
    </row>
    <row r="5" spans="1:35">
      <c r="A5" s="6" t="s">
        <v>36</v>
      </c>
      <c r="B5" s="6" t="s">
        <v>37</v>
      </c>
      <c r="C5" s="6" t="s">
        <v>31</v>
      </c>
      <c r="D5" s="6"/>
      <c r="E5" s="6"/>
      <c r="F5" s="6"/>
      <c r="G5" s="7">
        <v>925</v>
      </c>
      <c r="H5" s="7">
        <v>1906</v>
      </c>
      <c r="I5" s="6"/>
      <c r="J5" s="6"/>
      <c r="K5" s="6"/>
      <c r="L5" s="6">
        <f>G5+H5+I5+J5+K5</f>
        <v>2831</v>
      </c>
      <c r="M5" s="6">
        <v>2115</v>
      </c>
      <c r="N5" s="6">
        <f>+AH5*0.2</f>
        <v>1036.4</v>
      </c>
      <c r="O5" s="6">
        <f>+X5/2</f>
        <v>594</v>
      </c>
      <c r="P5" s="6"/>
      <c r="Q5" s="6">
        <v>550</v>
      </c>
      <c r="R5" s="6"/>
      <c r="S5" s="6"/>
      <c r="T5" s="6"/>
      <c r="U5" s="6">
        <f t="shared" si="0"/>
        <v>7126.4</v>
      </c>
      <c r="V5" s="6"/>
      <c r="W5" s="6"/>
      <c r="X5" s="6">
        <f>ROUND((AI5)*0.12,0)*2</f>
        <v>1188</v>
      </c>
      <c r="Y5" s="6">
        <f>+ROUND(AH5*0.28,2)</f>
        <v>1450.96</v>
      </c>
      <c r="Z5" s="6">
        <f>+ROUND((L5+M5)*0.04,0)</f>
        <v>198</v>
      </c>
      <c r="AA5" s="6"/>
      <c r="AB5" s="6"/>
      <c r="AC5" s="6"/>
      <c r="AD5" s="6"/>
      <c r="AE5" s="6"/>
      <c r="AF5" s="6">
        <f>+SUM(X5:AE5)</f>
        <v>2836.96</v>
      </c>
      <c r="AG5" s="6">
        <f>+U5-AF5</f>
        <v>4289.44</v>
      </c>
      <c r="AH5" s="2">
        <v>5182</v>
      </c>
      <c r="AI5" s="2">
        <v>4946</v>
      </c>
    </row>
    <row r="6" spans="1:35">
      <c r="A6" s="5" t="s">
        <v>38</v>
      </c>
      <c r="B6" s="6" t="s">
        <v>39</v>
      </c>
      <c r="C6" s="6" t="s">
        <v>31</v>
      </c>
      <c r="D6" s="6"/>
      <c r="E6" s="6"/>
      <c r="F6" s="6"/>
      <c r="G6" s="7">
        <v>925</v>
      </c>
      <c r="H6" s="7">
        <v>1594</v>
      </c>
      <c r="I6" s="6"/>
      <c r="J6" s="6"/>
      <c r="K6" s="6"/>
      <c r="L6" s="6">
        <f>G6+H6+I6+J6+K6</f>
        <v>2519</v>
      </c>
      <c r="M6" s="6">
        <v>2115</v>
      </c>
      <c r="N6" s="6">
        <f>+AH6*0.2</f>
        <v>968.8</v>
      </c>
      <c r="O6" s="6">
        <f>+X6/2</f>
        <v>556</v>
      </c>
      <c r="P6" s="6"/>
      <c r="Q6" s="6">
        <v>550</v>
      </c>
      <c r="R6" s="6"/>
      <c r="S6" s="6"/>
      <c r="T6" s="6"/>
      <c r="U6" s="6">
        <f t="shared" si="0"/>
        <v>6708.8</v>
      </c>
      <c r="V6" s="6"/>
      <c r="W6" s="6"/>
      <c r="X6" s="6">
        <f>ROUND((AI6)*0.12,0)*2</f>
        <v>1112</v>
      </c>
      <c r="Y6" s="6">
        <f>+ROUND(AH6*0.28,2)</f>
        <v>1356.32</v>
      </c>
      <c r="Z6" s="6">
        <f>+ROUND((L6+M6)*0.04,0)</f>
        <v>185</v>
      </c>
      <c r="AA6" s="6"/>
      <c r="AB6" s="6"/>
      <c r="AC6" s="6"/>
      <c r="AD6" s="6"/>
      <c r="AE6" s="6"/>
      <c r="AF6" s="6">
        <f>+SUM(X6:AE6)</f>
        <v>2653.32</v>
      </c>
      <c r="AG6" s="6">
        <f>+U6-AF6</f>
        <v>4055.48</v>
      </c>
      <c r="AH6" s="2">
        <v>4844</v>
      </c>
      <c r="AI6" s="2">
        <v>4634</v>
      </c>
    </row>
    <row r="7" spans="1:35">
      <c r="A7" s="5" t="s">
        <v>40</v>
      </c>
      <c r="B7" s="6" t="s">
        <v>41</v>
      </c>
      <c r="C7" s="6" t="s">
        <v>31</v>
      </c>
      <c r="D7" s="6"/>
      <c r="E7" s="6"/>
      <c r="F7" s="6"/>
      <c r="G7" s="7">
        <v>925</v>
      </c>
      <c r="H7" s="7">
        <v>1764</v>
      </c>
      <c r="I7" s="6"/>
      <c r="J7" s="6"/>
      <c r="K7" s="6"/>
      <c r="L7" s="6">
        <f>G7+H7+I7+J7+K7</f>
        <v>2689</v>
      </c>
      <c r="M7" s="6">
        <v>2115</v>
      </c>
      <c r="N7" s="6">
        <f>+AH7*0.2</f>
        <v>1005.6</v>
      </c>
      <c r="O7" s="6">
        <f>+X7/2</f>
        <v>576</v>
      </c>
      <c r="P7" s="6"/>
      <c r="Q7" s="6">
        <v>550</v>
      </c>
      <c r="R7" s="6"/>
      <c r="S7" s="6"/>
      <c r="T7" s="6"/>
      <c r="U7" s="6">
        <f t="shared" si="0"/>
        <v>6935.6</v>
      </c>
      <c r="V7" s="6"/>
      <c r="W7" s="6"/>
      <c r="X7" s="6">
        <f>ROUND((AI7)*0.12,0)*2</f>
        <v>1152</v>
      </c>
      <c r="Y7" s="6">
        <f>+ROUND(AH7*0.28,2)</f>
        <v>1407.84</v>
      </c>
      <c r="Z7" s="6">
        <f>+ROUND((L7+M7)*0.04,0)</f>
        <v>192</v>
      </c>
      <c r="AA7" s="6"/>
      <c r="AB7" s="6"/>
      <c r="AC7" s="6"/>
      <c r="AD7" s="6"/>
      <c r="AE7" s="6"/>
      <c r="AF7" s="6">
        <f>+SUM(X7:AE7)</f>
        <v>2751.84</v>
      </c>
      <c r="AG7" s="6">
        <f>+U7-AF7</f>
        <v>4183.76</v>
      </c>
      <c r="AH7" s="2">
        <v>5028</v>
      </c>
      <c r="AI7" s="2">
        <v>4804</v>
      </c>
    </row>
  </sheetData>
  <pageMargins left="0.75" right="0.75" top="1" bottom="1" header="0.509027777777778" footer="0.509027777777778"/>
  <pageSetup paperSize="8" orientation="landscape" verticalDpi="180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总表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cp:revision>1</cp:revision>
  <dcterms:created xsi:type="dcterms:W3CDTF">2008-03-22T02:18:00Z</dcterms:created>
  <cp:lastPrinted>2017-01-10T10:07:00Z</cp:lastPrinted>
  <dcterms:modified xsi:type="dcterms:W3CDTF">2017-05-29T03:33:00Z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2052-10.1.0.6490</vt:lpwstr>
  </property>
</Properties>
</file>